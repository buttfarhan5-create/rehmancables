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ion\Documents\"/>
    </mc:Choice>
  </mc:AlternateContent>
  <xr:revisionPtr revIDLastSave="0" documentId="8_{96C63B5A-C7F5-4F97-B38E-922723529B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ble Price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1" l="1"/>
  <c r="H57" i="1"/>
  <c r="I57" i="1" s="1"/>
  <c r="J56" i="1"/>
  <c r="H56" i="1"/>
  <c r="I56" i="1" s="1"/>
  <c r="J55" i="1"/>
  <c r="H55" i="1"/>
  <c r="I55" i="1" s="1"/>
  <c r="J54" i="1"/>
  <c r="H54" i="1"/>
  <c r="I54" i="1" s="1"/>
  <c r="J53" i="1"/>
  <c r="H53" i="1"/>
  <c r="I53" i="1" s="1"/>
  <c r="J52" i="1"/>
  <c r="H52" i="1"/>
  <c r="I52" i="1" s="1"/>
  <c r="J51" i="1"/>
  <c r="H51" i="1"/>
  <c r="I51" i="1" s="1"/>
  <c r="J50" i="1"/>
  <c r="H50" i="1"/>
  <c r="I50" i="1" s="1"/>
  <c r="J49" i="1"/>
  <c r="H49" i="1"/>
  <c r="I49" i="1" s="1"/>
  <c r="J48" i="1"/>
  <c r="H48" i="1"/>
  <c r="I48" i="1" s="1"/>
  <c r="J47" i="1"/>
  <c r="H47" i="1"/>
  <c r="I47" i="1" s="1"/>
  <c r="J46" i="1"/>
  <c r="H46" i="1"/>
  <c r="I46" i="1" s="1"/>
  <c r="J45" i="1"/>
  <c r="H45" i="1"/>
  <c r="I45" i="1" s="1"/>
  <c r="J44" i="1"/>
  <c r="H44" i="1"/>
  <c r="I44" i="1" s="1"/>
  <c r="J43" i="1"/>
  <c r="H43" i="1"/>
  <c r="I43" i="1" s="1"/>
  <c r="J42" i="1"/>
  <c r="H42" i="1"/>
  <c r="I42" i="1" s="1"/>
  <c r="J41" i="1"/>
  <c r="H41" i="1"/>
  <c r="I41" i="1" s="1"/>
  <c r="J40" i="1"/>
  <c r="H40" i="1"/>
  <c r="I40" i="1" s="1"/>
  <c r="J39" i="1"/>
  <c r="H39" i="1"/>
  <c r="I39" i="1" s="1"/>
  <c r="J38" i="1"/>
  <c r="H38" i="1"/>
  <c r="I38" i="1" s="1"/>
  <c r="J37" i="1"/>
  <c r="H37" i="1"/>
  <c r="I37" i="1" s="1"/>
  <c r="J36" i="1"/>
  <c r="H36" i="1"/>
  <c r="I36" i="1" s="1"/>
  <c r="J35" i="1"/>
  <c r="H35" i="1"/>
  <c r="I35" i="1" s="1"/>
  <c r="J34" i="1"/>
  <c r="H34" i="1"/>
  <c r="I34" i="1" s="1"/>
  <c r="J33" i="1"/>
  <c r="H33" i="1"/>
  <c r="I33" i="1" s="1"/>
  <c r="J32" i="1"/>
  <c r="H32" i="1"/>
  <c r="I32" i="1" s="1"/>
  <c r="J31" i="1"/>
  <c r="H31" i="1"/>
  <c r="I31" i="1" s="1"/>
  <c r="J30" i="1"/>
  <c r="H30" i="1"/>
  <c r="I30" i="1" s="1"/>
  <c r="J29" i="1"/>
  <c r="H29" i="1"/>
  <c r="I29" i="1" s="1"/>
  <c r="J28" i="1"/>
  <c r="H28" i="1"/>
  <c r="I28" i="1" s="1"/>
  <c r="J27" i="1"/>
  <c r="H27" i="1"/>
  <c r="I27" i="1" s="1"/>
  <c r="J26" i="1"/>
  <c r="H26" i="1"/>
  <c r="I26" i="1" s="1"/>
  <c r="J25" i="1"/>
  <c r="H25" i="1"/>
  <c r="I25" i="1" s="1"/>
  <c r="J24" i="1"/>
  <c r="H24" i="1"/>
  <c r="I24" i="1" s="1"/>
  <c r="J23" i="1"/>
  <c r="H23" i="1"/>
  <c r="I23" i="1" s="1"/>
  <c r="J22" i="1"/>
  <c r="H22" i="1"/>
  <c r="I22" i="1" s="1"/>
  <c r="J21" i="1"/>
  <c r="H21" i="1"/>
  <c r="I21" i="1" s="1"/>
  <c r="J20" i="1"/>
  <c r="H20" i="1"/>
  <c r="I20" i="1" s="1"/>
  <c r="J19" i="1"/>
  <c r="H19" i="1"/>
  <c r="I19" i="1" s="1"/>
  <c r="J18" i="1"/>
  <c r="H18" i="1"/>
  <c r="I18" i="1" s="1"/>
  <c r="J17" i="1"/>
  <c r="H17" i="1"/>
  <c r="I17" i="1" s="1"/>
  <c r="J16" i="1"/>
  <c r="H16" i="1"/>
  <c r="I16" i="1" s="1"/>
  <c r="J15" i="1"/>
  <c r="H15" i="1"/>
  <c r="I15" i="1" s="1"/>
  <c r="J14" i="1"/>
  <c r="H14" i="1"/>
  <c r="I14" i="1" s="1"/>
  <c r="J13" i="1"/>
  <c r="H13" i="1"/>
  <c r="I13" i="1" s="1"/>
  <c r="J12" i="1"/>
  <c r="H12" i="1"/>
  <c r="I12" i="1" s="1"/>
  <c r="J11" i="1"/>
  <c r="H11" i="1"/>
  <c r="I11" i="1" s="1"/>
  <c r="J10" i="1"/>
  <c r="H10" i="1"/>
  <c r="I10" i="1" s="1"/>
  <c r="J9" i="1"/>
  <c r="H9" i="1"/>
  <c r="I9" i="1" s="1"/>
  <c r="J8" i="1"/>
  <c r="H8" i="1"/>
  <c r="I8" i="1" s="1"/>
  <c r="J7" i="1"/>
  <c r="H7" i="1"/>
  <c r="I7" i="1" s="1"/>
  <c r="J6" i="1"/>
  <c r="H6" i="1"/>
  <c r="I6" i="1" s="1"/>
  <c r="J5" i="1"/>
  <c r="H5" i="1"/>
  <c r="I5" i="1" s="1"/>
</calcChain>
</file>

<file path=xl/sharedStrings.xml><?xml version="1.0" encoding="utf-8"?>
<sst xmlns="http://schemas.openxmlformats.org/spreadsheetml/2006/main" count="171" uniqueCount="75">
  <si>
    <t>CABLE MANUFACTURERS COMPARATIVE PRICE ANALYSIS (PKR)</t>
  </si>
  <si>
    <t>Million Classic Cables (-35% Discount Applied) vs GM Cables vs Fast Cables vs Newage Cables</t>
  </si>
  <si>
    <t>Product Category</t>
  </si>
  <si>
    <t>Specification / Subcategory</t>
  </si>
  <si>
    <t>Standard Unit</t>
  </si>
  <si>
    <t>Million Classic (PKR)</t>
  </si>
  <si>
    <t>GM Cables (PKR)</t>
  </si>
  <si>
    <t>Fast Cables (PKR)</t>
  </si>
  <si>
    <t>Newage Cables (PKR)</t>
  </si>
  <si>
    <t>Lowest Price (PKR)</t>
  </si>
  <si>
    <t>Lowest Price Vendor &amp; Rate</t>
  </si>
  <si>
    <t>Variance vs Highest (%)</t>
  </si>
  <si>
    <t>General Wiring (BS-2004)</t>
  </si>
  <si>
    <t>3/.029 Single Core</t>
  </si>
  <si>
    <t>90m Coil</t>
  </si>
  <si>
    <t>7/.029 Single Core</t>
  </si>
  <si>
    <t>7/.029 2-Core Flat</t>
  </si>
  <si>
    <t>Per Meter</t>
  </si>
  <si>
    <t>7/.029 3-Core Round</t>
  </si>
  <si>
    <t>7/.029 4-Core Round</t>
  </si>
  <si>
    <t>General Wiring (BS-6004)</t>
  </si>
  <si>
    <t>1.0 mm² S/C Solid</t>
  </si>
  <si>
    <t>1.5 mm² S/C Solid</t>
  </si>
  <si>
    <t>1.5 mm² S/C Stranded</t>
  </si>
  <si>
    <t>2.5 mm² S/C Solid</t>
  </si>
  <si>
    <t>2.5 mm² S/C Stranded</t>
  </si>
  <si>
    <t>4.0 mm² S/C Stranded</t>
  </si>
  <si>
    <t>6.0 mm² S/C Stranded</t>
  </si>
  <si>
    <t>10.0 mm² S/C Stranded</t>
  </si>
  <si>
    <t>16.0 mm² S/C Stranded</t>
  </si>
  <si>
    <t>1.5 mm² 2-Core Flat</t>
  </si>
  <si>
    <t>2.5 mm² 2-Core Flat</t>
  </si>
  <si>
    <t>4.0 mm² 2-Core Flat</t>
  </si>
  <si>
    <t>6.0 mm² 2-Core Flat</t>
  </si>
  <si>
    <t>10.0 mm² 2-Core Flat</t>
  </si>
  <si>
    <t>16.0 mm² 2-Core Flat</t>
  </si>
  <si>
    <t>1.5 mm² 3-Core Round</t>
  </si>
  <si>
    <t>2.5 mm² 3-Core Round</t>
  </si>
  <si>
    <t>4.0 mm² 3-Core Round</t>
  </si>
  <si>
    <t>6.0 mm² 3-Core Round</t>
  </si>
  <si>
    <t>2.5 mm² 4-Core Round</t>
  </si>
  <si>
    <t>4.0 mm² 4-Core Round</t>
  </si>
  <si>
    <t>6.0 mm² 4-Core Round</t>
  </si>
  <si>
    <t>10.0 mm² 4-Core Round</t>
  </si>
  <si>
    <t>Flexible Cables (BS-6500)</t>
  </si>
  <si>
    <t>0.75 mm² 1-Core Flexible</t>
  </si>
  <si>
    <t>1.5 mm² 1-Core Flexible</t>
  </si>
  <si>
    <t>2.5 mm² 1-Core Flexible</t>
  </si>
  <si>
    <t>4.0 mm² 1-Core Flexible</t>
  </si>
  <si>
    <t>6.0 mm² 1-Core Flexible</t>
  </si>
  <si>
    <t>0.75 mm² 2-Core Flexible</t>
  </si>
  <si>
    <t>1.0 mm² 2-Core Flexible</t>
  </si>
  <si>
    <t>1.5 mm² 2-Core Flexible</t>
  </si>
  <si>
    <t>2.5 mm² 2-Core Flexible</t>
  </si>
  <si>
    <t>4.0 mm² 2-Core Flexible</t>
  </si>
  <si>
    <t>0.75 mm² 3-Core Flexible</t>
  </si>
  <si>
    <t>1.5 mm² 3-Core Flexible</t>
  </si>
  <si>
    <t>2.5 mm² 3-Core Flexible</t>
  </si>
  <si>
    <t>4.0 mm² 3-Core Flexible</t>
  </si>
  <si>
    <t>0.75 mm² 4-Core Flexible</t>
  </si>
  <si>
    <t>1.5 mm² 4-Core Flexible</t>
  </si>
  <si>
    <t>2.5 mm² 4-Core Flexible</t>
  </si>
  <si>
    <t>4.0 mm² 4-Core Flexible</t>
  </si>
  <si>
    <t>Solar PV Cables (DC 1500V)</t>
  </si>
  <si>
    <t>4.0 mm² XLPO Single Core</t>
  </si>
  <si>
    <t>6.0 mm² XLPO Single Core</t>
  </si>
  <si>
    <t>Networking Cable (CAT-6)</t>
  </si>
  <si>
    <t>CAT-6 UTP Copper Standard</t>
  </si>
  <si>
    <t>305m Coil</t>
  </si>
  <si>
    <t>Coaxial Cable</t>
  </si>
  <si>
    <t>RG-7 U Video Cable</t>
  </si>
  <si>
    <t>Telephone / Intercom</t>
  </si>
  <si>
    <t>1 Pair Cable</t>
  </si>
  <si>
    <t>2 Pair Cable</t>
  </si>
  <si>
    <t>4 Pair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</si>
</sst>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selection activeCell="I10" sqref="I10"/>
    </sheetView>
  </sheetViews>
  <sheetFormatPr defaultRowHeight="15" x14ac:dyDescent="0.25"/>
  <cols>
    <col min="1" max="1" width="28" customWidth="1"/>
    <col min="2" max="2" width="30" customWidth="1"/>
    <col min="3" max="3" width="16" customWidth="1"/>
    <col min="4" max="4" width="22" customWidth="1"/>
    <col min="5" max="6" width="18" customWidth="1"/>
    <col min="7" max="8" width="20" customWidth="1"/>
    <col min="9" max="9" width="40" customWidth="1"/>
    <col min="10" max="10" width="24" customWidth="1"/>
  </cols>
  <sheetData>
    <row r="1" spans="1:10" ht="2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</row>
    <row r="4" spans="1:10" ht="30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x14ac:dyDescent="0.25">
      <c r="A5" s="3" t="s">
        <v>12</v>
      </c>
      <c r="B5" s="3" t="s">
        <v>13</v>
      </c>
      <c r="C5" s="4" t="s">
        <v>14</v>
      </c>
      <c r="D5" s="5">
        <v>5948</v>
      </c>
      <c r="E5" s="5">
        <v>6950</v>
      </c>
      <c r="F5" s="5">
        <v>9499</v>
      </c>
      <c r="G5" s="5">
        <v>10811</v>
      </c>
      <c r="H5" s="5">
        <f t="shared" ref="H5:H36" si="0">IF(COUNT(D5:G5)&gt;0, MIN(D5:G5), "N/A")</f>
        <v>5948</v>
      </c>
      <c r="I5" s="6" t="str">
        <f t="shared" ref="I5:I36" si="1">IF(H5="N/A", "N/A", INDEX($D$4:$G$4, MATCH(H5, D5:G5, 0)) &amp; " with Rs." &amp; TEXT(H5, "#,##0") &amp; "/-")</f>
        <v>Million Classic (PKR) with Rs.5,948/-</v>
      </c>
      <c r="J5" s="7">
        <f t="shared" ref="J5:J36" si="2">IF(COUNT(D5:G5)&gt;1, (MAX(D5:G5)-MIN(D5:G5))/MAX(D5:G5), 0)</f>
        <v>0.44981962815650728</v>
      </c>
    </row>
    <row r="6" spans="1:10" x14ac:dyDescent="0.25">
      <c r="A6" s="3" t="s">
        <v>12</v>
      </c>
      <c r="B6" s="3" t="s">
        <v>15</v>
      </c>
      <c r="C6" s="4" t="s">
        <v>14</v>
      </c>
      <c r="D6" s="5">
        <v>13068</v>
      </c>
      <c r="E6" s="5">
        <v>15025</v>
      </c>
      <c r="F6" s="5">
        <v>20999</v>
      </c>
      <c r="G6" s="5">
        <v>23681</v>
      </c>
      <c r="H6" s="5">
        <f t="shared" si="0"/>
        <v>13068</v>
      </c>
      <c r="I6" s="6" t="str">
        <f t="shared" si="1"/>
        <v>Million Classic (PKR) with Rs.13,068/-</v>
      </c>
      <c r="J6" s="7">
        <f t="shared" si="2"/>
        <v>0.4481651957265318</v>
      </c>
    </row>
    <row r="7" spans="1:10" x14ac:dyDescent="0.25">
      <c r="A7" s="3" t="s">
        <v>12</v>
      </c>
      <c r="B7" s="3" t="s">
        <v>16</v>
      </c>
      <c r="C7" s="4" t="s">
        <v>17</v>
      </c>
      <c r="D7" s="5"/>
      <c r="E7" s="5">
        <v>383</v>
      </c>
      <c r="F7" s="5"/>
      <c r="G7" s="5"/>
      <c r="H7" s="5">
        <f t="shared" si="0"/>
        <v>383</v>
      </c>
      <c r="I7" s="6" t="str">
        <f t="shared" si="1"/>
        <v>GM Cables (PKR) with Rs.383/-</v>
      </c>
      <c r="J7" s="7">
        <f t="shared" si="2"/>
        <v>0</v>
      </c>
    </row>
    <row r="8" spans="1:10" x14ac:dyDescent="0.25">
      <c r="A8" s="3" t="s">
        <v>12</v>
      </c>
      <c r="B8" s="3" t="s">
        <v>18</v>
      </c>
      <c r="C8" s="4" t="s">
        <v>17</v>
      </c>
      <c r="D8" s="5"/>
      <c r="E8" s="5">
        <v>612</v>
      </c>
      <c r="F8" s="5"/>
      <c r="G8" s="5"/>
      <c r="H8" s="5">
        <f t="shared" si="0"/>
        <v>612</v>
      </c>
      <c r="I8" s="6" t="str">
        <f t="shared" si="1"/>
        <v>GM Cables (PKR) with Rs.612/-</v>
      </c>
      <c r="J8" s="7">
        <f t="shared" si="2"/>
        <v>0</v>
      </c>
    </row>
    <row r="9" spans="1:10" x14ac:dyDescent="0.25">
      <c r="A9" s="3" t="s">
        <v>12</v>
      </c>
      <c r="B9" s="3" t="s">
        <v>19</v>
      </c>
      <c r="C9" s="4" t="s">
        <v>17</v>
      </c>
      <c r="D9" s="5">
        <v>712</v>
      </c>
      <c r="E9" s="5">
        <v>775</v>
      </c>
      <c r="F9" s="5"/>
      <c r="G9" s="5"/>
      <c r="H9" s="5">
        <f t="shared" si="0"/>
        <v>712</v>
      </c>
      <c r="I9" s="6" t="str">
        <f t="shared" si="1"/>
        <v>Million Classic (PKR) with Rs.712/-</v>
      </c>
      <c r="J9" s="7">
        <f t="shared" si="2"/>
        <v>8.1290322580645155E-2</v>
      </c>
    </row>
    <row r="10" spans="1:10" x14ac:dyDescent="0.25">
      <c r="A10" s="3" t="s">
        <v>20</v>
      </c>
      <c r="B10" s="3" t="s">
        <v>21</v>
      </c>
      <c r="C10" s="4" t="s">
        <v>14</v>
      </c>
      <c r="D10" s="5"/>
      <c r="E10" s="5">
        <v>5850</v>
      </c>
      <c r="F10" s="5">
        <v>6999</v>
      </c>
      <c r="G10" s="5">
        <v>8067</v>
      </c>
      <c r="H10" s="5">
        <f t="shared" si="0"/>
        <v>5850</v>
      </c>
      <c r="I10" s="6" t="str">
        <f t="shared" si="1"/>
        <v>GM Cables (PKR) with Rs.5,850/-</v>
      </c>
      <c r="J10" s="7">
        <f t="shared" si="2"/>
        <v>0.27482335440684269</v>
      </c>
    </row>
    <row r="11" spans="1:10" x14ac:dyDescent="0.25">
      <c r="A11" s="3" t="s">
        <v>20</v>
      </c>
      <c r="B11" s="3" t="s">
        <v>22</v>
      </c>
      <c r="C11" s="4" t="s">
        <v>14</v>
      </c>
      <c r="D11" s="5">
        <v>7017</v>
      </c>
      <c r="E11" s="5">
        <v>7880</v>
      </c>
      <c r="F11" s="5">
        <v>10999</v>
      </c>
      <c r="G11" s="5">
        <v>12083</v>
      </c>
      <c r="H11" s="5">
        <f t="shared" si="0"/>
        <v>7017</v>
      </c>
      <c r="I11" s="6" t="str">
        <f t="shared" si="1"/>
        <v>Million Classic (PKR) with Rs.7,017/-</v>
      </c>
      <c r="J11" s="7">
        <f t="shared" si="2"/>
        <v>0.41926673839278322</v>
      </c>
    </row>
    <row r="12" spans="1:10" x14ac:dyDescent="0.25">
      <c r="A12" s="3" t="s">
        <v>20</v>
      </c>
      <c r="B12" s="3" t="s">
        <v>23</v>
      </c>
      <c r="C12" s="4" t="s">
        <v>14</v>
      </c>
      <c r="D12" s="5">
        <v>7082</v>
      </c>
      <c r="E12" s="5">
        <v>7880</v>
      </c>
      <c r="F12" s="5">
        <v>11449</v>
      </c>
      <c r="G12" s="5">
        <v>12819</v>
      </c>
      <c r="H12" s="5">
        <f t="shared" si="0"/>
        <v>7082</v>
      </c>
      <c r="I12" s="6" t="str">
        <f t="shared" si="1"/>
        <v>Million Classic (PKR) with Rs.7,082/-</v>
      </c>
      <c r="J12" s="7">
        <f t="shared" si="2"/>
        <v>0.44753880957953041</v>
      </c>
    </row>
    <row r="13" spans="1:10" x14ac:dyDescent="0.25">
      <c r="A13" s="3" t="s">
        <v>20</v>
      </c>
      <c r="B13" s="3" t="s">
        <v>24</v>
      </c>
      <c r="C13" s="4" t="s">
        <v>14</v>
      </c>
      <c r="D13" s="5">
        <v>11261</v>
      </c>
      <c r="E13" s="5">
        <v>12130</v>
      </c>
      <c r="F13" s="5">
        <v>17499</v>
      </c>
      <c r="G13" s="5">
        <v>18926</v>
      </c>
      <c r="H13" s="5">
        <f t="shared" si="0"/>
        <v>11261</v>
      </c>
      <c r="I13" s="6" t="str">
        <f t="shared" si="1"/>
        <v>Million Classic (PKR) with Rs.11,261/-</v>
      </c>
      <c r="J13" s="7">
        <f t="shared" si="2"/>
        <v>0.40499841487900246</v>
      </c>
    </row>
    <row r="14" spans="1:10" x14ac:dyDescent="0.25">
      <c r="A14" s="3" t="s">
        <v>20</v>
      </c>
      <c r="B14" s="3" t="s">
        <v>25</v>
      </c>
      <c r="C14" s="4" t="s">
        <v>14</v>
      </c>
      <c r="D14" s="5">
        <v>11261</v>
      </c>
      <c r="E14" s="5">
        <v>12130</v>
      </c>
      <c r="F14" s="5">
        <v>18199</v>
      </c>
      <c r="G14" s="5">
        <v>20835</v>
      </c>
      <c r="H14" s="5">
        <f t="shared" si="0"/>
        <v>11261</v>
      </c>
      <c r="I14" s="6" t="str">
        <f t="shared" si="1"/>
        <v>Million Classic (PKR) with Rs.11,261/-</v>
      </c>
      <c r="J14" s="7">
        <f t="shared" si="2"/>
        <v>0.45951523878089751</v>
      </c>
    </row>
    <row r="15" spans="1:10" x14ac:dyDescent="0.25">
      <c r="A15" s="3" t="s">
        <v>20</v>
      </c>
      <c r="B15" s="3" t="s">
        <v>26</v>
      </c>
      <c r="C15" s="4" t="s">
        <v>14</v>
      </c>
      <c r="D15" s="5">
        <v>17534</v>
      </c>
      <c r="E15" s="5">
        <v>20240</v>
      </c>
      <c r="F15" s="5">
        <v>27499</v>
      </c>
      <c r="G15" s="5">
        <v>30858</v>
      </c>
      <c r="H15" s="5">
        <f t="shared" si="0"/>
        <v>17534</v>
      </c>
      <c r="I15" s="6" t="str">
        <f t="shared" si="1"/>
        <v>Million Classic (PKR) with Rs.17,534/-</v>
      </c>
      <c r="J15" s="7">
        <f t="shared" si="2"/>
        <v>0.43178430228789944</v>
      </c>
    </row>
    <row r="16" spans="1:10" x14ac:dyDescent="0.25">
      <c r="A16" s="3" t="s">
        <v>20</v>
      </c>
      <c r="B16" s="3" t="s">
        <v>27</v>
      </c>
      <c r="C16" s="4" t="s">
        <v>14</v>
      </c>
      <c r="D16" s="5">
        <v>25321</v>
      </c>
      <c r="E16" s="5">
        <v>29650</v>
      </c>
      <c r="F16" s="5">
        <v>40599</v>
      </c>
      <c r="G16" s="5">
        <v>45696</v>
      </c>
      <c r="H16" s="5">
        <f t="shared" si="0"/>
        <v>25321</v>
      </c>
      <c r="I16" s="6" t="str">
        <f t="shared" si="1"/>
        <v>Million Classic (PKR) with Rs.25,321/-</v>
      </c>
      <c r="J16" s="7">
        <f t="shared" si="2"/>
        <v>0.44588147759103641</v>
      </c>
    </row>
    <row r="17" spans="1:10" x14ac:dyDescent="0.25">
      <c r="A17" s="3" t="s">
        <v>20</v>
      </c>
      <c r="B17" s="3" t="s">
        <v>28</v>
      </c>
      <c r="C17" s="4" t="s">
        <v>14</v>
      </c>
      <c r="D17" s="5">
        <v>41636</v>
      </c>
      <c r="E17" s="5">
        <v>49120</v>
      </c>
      <c r="F17" s="5">
        <v>68499</v>
      </c>
      <c r="G17" s="5">
        <v>78602</v>
      </c>
      <c r="H17" s="5">
        <f t="shared" si="0"/>
        <v>41636</v>
      </c>
      <c r="I17" s="6" t="str">
        <f t="shared" si="1"/>
        <v>Million Classic (PKR) with Rs.41,636/-</v>
      </c>
      <c r="J17" s="7">
        <f t="shared" si="2"/>
        <v>0.47029337675886107</v>
      </c>
    </row>
    <row r="18" spans="1:10" x14ac:dyDescent="0.25">
      <c r="A18" s="3" t="s">
        <v>20</v>
      </c>
      <c r="B18" s="3" t="s">
        <v>29</v>
      </c>
      <c r="C18" s="4" t="s">
        <v>14</v>
      </c>
      <c r="D18" s="5">
        <v>66011</v>
      </c>
      <c r="E18" s="5">
        <v>78725</v>
      </c>
      <c r="F18" s="5">
        <v>106499</v>
      </c>
      <c r="G18" s="5">
        <v>120888</v>
      </c>
      <c r="H18" s="5">
        <f t="shared" si="0"/>
        <v>66011</v>
      </c>
      <c r="I18" s="6" t="str">
        <f t="shared" si="1"/>
        <v>Million Classic (PKR) with Rs.66,011/-</v>
      </c>
      <c r="J18" s="7">
        <f t="shared" si="2"/>
        <v>0.45394910991992588</v>
      </c>
    </row>
    <row r="19" spans="1:10" x14ac:dyDescent="0.25">
      <c r="A19" s="3" t="s">
        <v>20</v>
      </c>
      <c r="B19" s="3" t="s">
        <v>30</v>
      </c>
      <c r="C19" s="4" t="s">
        <v>14</v>
      </c>
      <c r="D19" s="5">
        <v>15967</v>
      </c>
      <c r="E19" s="5">
        <v>19710</v>
      </c>
      <c r="F19" s="5">
        <v>28224</v>
      </c>
      <c r="G19" s="5">
        <v>31310</v>
      </c>
      <c r="H19" s="5">
        <f t="shared" si="0"/>
        <v>15967</v>
      </c>
      <c r="I19" s="6" t="str">
        <f t="shared" si="1"/>
        <v>Million Classic (PKR) with Rs.15,967/-</v>
      </c>
      <c r="J19" s="7">
        <f t="shared" si="2"/>
        <v>0.49003513254551262</v>
      </c>
    </row>
    <row r="20" spans="1:10" x14ac:dyDescent="0.25">
      <c r="A20" s="3" t="s">
        <v>20</v>
      </c>
      <c r="B20" s="3" t="s">
        <v>31</v>
      </c>
      <c r="C20" s="4" t="s">
        <v>14</v>
      </c>
      <c r="D20" s="5">
        <v>26621</v>
      </c>
      <c r="E20" s="5">
        <v>29430</v>
      </c>
      <c r="F20" s="5">
        <v>41099</v>
      </c>
      <c r="G20" s="5">
        <v>46511</v>
      </c>
      <c r="H20" s="5">
        <f t="shared" si="0"/>
        <v>26621</v>
      </c>
      <c r="I20" s="6" t="str">
        <f t="shared" si="1"/>
        <v>Million Classic (PKR) with Rs.26,621/-</v>
      </c>
      <c r="J20" s="7">
        <f t="shared" si="2"/>
        <v>0.42764077315043753</v>
      </c>
    </row>
    <row r="21" spans="1:10" x14ac:dyDescent="0.25">
      <c r="A21" s="3" t="s">
        <v>20</v>
      </c>
      <c r="B21" s="3" t="s">
        <v>32</v>
      </c>
      <c r="C21" s="4" t="s">
        <v>17</v>
      </c>
      <c r="D21" s="5"/>
      <c r="E21" s="5">
        <v>512</v>
      </c>
      <c r="F21" s="5">
        <v>686</v>
      </c>
      <c r="G21" s="5">
        <v>789</v>
      </c>
      <c r="H21" s="5">
        <f t="shared" si="0"/>
        <v>512</v>
      </c>
      <c r="I21" s="6" t="str">
        <f t="shared" si="1"/>
        <v>GM Cables (PKR) with Rs.512/-</v>
      </c>
      <c r="J21" s="7">
        <f t="shared" si="2"/>
        <v>0.35107731305449935</v>
      </c>
    </row>
    <row r="22" spans="1:10" x14ac:dyDescent="0.25">
      <c r="A22" s="3" t="s">
        <v>20</v>
      </c>
      <c r="B22" s="3" t="s">
        <v>33</v>
      </c>
      <c r="C22" s="4" t="s">
        <v>17</v>
      </c>
      <c r="D22" s="5">
        <v>933</v>
      </c>
      <c r="E22" s="5">
        <v>756</v>
      </c>
      <c r="F22" s="5">
        <v>1019</v>
      </c>
      <c r="G22" s="5">
        <v>1106</v>
      </c>
      <c r="H22" s="5">
        <f t="shared" si="0"/>
        <v>756</v>
      </c>
      <c r="I22" s="6" t="str">
        <f t="shared" si="1"/>
        <v>GM Cables (PKR) with Rs.756/-</v>
      </c>
      <c r="J22" s="7">
        <f t="shared" si="2"/>
        <v>0.31645569620253167</v>
      </c>
    </row>
    <row r="23" spans="1:10" x14ac:dyDescent="0.25">
      <c r="A23" s="3" t="s">
        <v>20</v>
      </c>
      <c r="B23" s="3" t="s">
        <v>34</v>
      </c>
      <c r="C23" s="4" t="s">
        <v>17</v>
      </c>
      <c r="D23" s="5"/>
      <c r="E23" s="5">
        <v>1208</v>
      </c>
      <c r="F23" s="5">
        <v>1667</v>
      </c>
      <c r="G23" s="5">
        <v>1805</v>
      </c>
      <c r="H23" s="5">
        <f t="shared" si="0"/>
        <v>1208</v>
      </c>
      <c r="I23" s="6" t="str">
        <f t="shared" si="1"/>
        <v>GM Cables (PKR) with Rs.1,208/-</v>
      </c>
      <c r="J23" s="7">
        <f t="shared" si="2"/>
        <v>0.33074792243767315</v>
      </c>
    </row>
    <row r="24" spans="1:10" x14ac:dyDescent="0.25">
      <c r="A24" s="3" t="s">
        <v>20</v>
      </c>
      <c r="B24" s="3" t="s">
        <v>35</v>
      </c>
      <c r="C24" s="4" t="s">
        <v>17</v>
      </c>
      <c r="D24" s="5"/>
      <c r="E24" s="5">
        <v>1882</v>
      </c>
      <c r="F24" s="5">
        <v>2478</v>
      </c>
      <c r="G24" s="5">
        <v>2808</v>
      </c>
      <c r="H24" s="5">
        <f t="shared" si="0"/>
        <v>1882</v>
      </c>
      <c r="I24" s="6" t="str">
        <f t="shared" si="1"/>
        <v>GM Cables (PKR) with Rs.1,882/-</v>
      </c>
      <c r="J24" s="7">
        <f t="shared" si="2"/>
        <v>0.32977207977207978</v>
      </c>
    </row>
    <row r="25" spans="1:10" x14ac:dyDescent="0.25">
      <c r="A25" s="3" t="s">
        <v>20</v>
      </c>
      <c r="B25" s="3" t="s">
        <v>36</v>
      </c>
      <c r="C25" s="4" t="s">
        <v>17</v>
      </c>
      <c r="D25" s="5"/>
      <c r="E25" s="5">
        <v>359</v>
      </c>
      <c r="F25" s="5">
        <v>433</v>
      </c>
      <c r="G25" s="5">
        <v>520</v>
      </c>
      <c r="H25" s="5">
        <f t="shared" si="0"/>
        <v>359</v>
      </c>
      <c r="I25" s="6" t="str">
        <f t="shared" si="1"/>
        <v>GM Cables (PKR) with Rs.359/-</v>
      </c>
      <c r="J25" s="7">
        <f t="shared" si="2"/>
        <v>0.30961538461538463</v>
      </c>
    </row>
    <row r="26" spans="1:10" x14ac:dyDescent="0.25">
      <c r="A26" s="3" t="s">
        <v>20</v>
      </c>
      <c r="B26" s="3" t="s">
        <v>37</v>
      </c>
      <c r="C26" s="4" t="s">
        <v>17</v>
      </c>
      <c r="D26" s="5"/>
      <c r="E26" s="5">
        <v>538</v>
      </c>
      <c r="F26" s="5">
        <v>647</v>
      </c>
      <c r="G26" s="5">
        <v>780</v>
      </c>
      <c r="H26" s="5">
        <f t="shared" si="0"/>
        <v>538</v>
      </c>
      <c r="I26" s="6" t="str">
        <f t="shared" si="1"/>
        <v>GM Cables (PKR) with Rs.538/-</v>
      </c>
      <c r="J26" s="7">
        <f t="shared" si="2"/>
        <v>0.31025641025641026</v>
      </c>
    </row>
    <row r="27" spans="1:10" x14ac:dyDescent="0.25">
      <c r="A27" s="3" t="s">
        <v>20</v>
      </c>
      <c r="B27" s="3" t="s">
        <v>38</v>
      </c>
      <c r="C27" s="4" t="s">
        <v>17</v>
      </c>
      <c r="D27" s="5"/>
      <c r="E27" s="5">
        <v>824</v>
      </c>
      <c r="F27" s="5">
        <v>1002</v>
      </c>
      <c r="G27" s="5">
        <v>1180</v>
      </c>
      <c r="H27" s="5">
        <f t="shared" si="0"/>
        <v>824</v>
      </c>
      <c r="I27" s="6" t="str">
        <f t="shared" si="1"/>
        <v>GM Cables (PKR) with Rs.824/-</v>
      </c>
      <c r="J27" s="7">
        <f t="shared" si="2"/>
        <v>0.30169491525423731</v>
      </c>
    </row>
    <row r="28" spans="1:10" x14ac:dyDescent="0.25">
      <c r="A28" s="3" t="s">
        <v>20</v>
      </c>
      <c r="B28" s="3" t="s">
        <v>39</v>
      </c>
      <c r="C28" s="4" t="s">
        <v>17</v>
      </c>
      <c r="D28" s="5"/>
      <c r="E28" s="5">
        <v>1222</v>
      </c>
      <c r="F28" s="5">
        <v>1537</v>
      </c>
      <c r="G28" s="5">
        <v>1813</v>
      </c>
      <c r="H28" s="5">
        <f t="shared" si="0"/>
        <v>1222</v>
      </c>
      <c r="I28" s="6" t="str">
        <f t="shared" si="1"/>
        <v>GM Cables (PKR) with Rs.1,222/-</v>
      </c>
      <c r="J28" s="7">
        <f t="shared" si="2"/>
        <v>0.32597904026475455</v>
      </c>
    </row>
    <row r="29" spans="1:10" x14ac:dyDescent="0.25">
      <c r="A29" s="3" t="s">
        <v>20</v>
      </c>
      <c r="B29" s="3" t="s">
        <v>40</v>
      </c>
      <c r="C29" s="4" t="s">
        <v>17</v>
      </c>
      <c r="D29" s="5">
        <v>614</v>
      </c>
      <c r="E29" s="5">
        <v>715</v>
      </c>
      <c r="F29" s="5">
        <v>831</v>
      </c>
      <c r="G29" s="5">
        <v>999</v>
      </c>
      <c r="H29" s="5">
        <f t="shared" si="0"/>
        <v>614</v>
      </c>
      <c r="I29" s="6" t="str">
        <f t="shared" si="1"/>
        <v>Million Classic (PKR) with Rs.614/-</v>
      </c>
      <c r="J29" s="7">
        <f t="shared" si="2"/>
        <v>0.38538538538538536</v>
      </c>
    </row>
    <row r="30" spans="1:10" x14ac:dyDescent="0.25">
      <c r="A30" s="3" t="s">
        <v>20</v>
      </c>
      <c r="B30" s="3" t="s">
        <v>41</v>
      </c>
      <c r="C30" s="4" t="s">
        <v>17</v>
      </c>
      <c r="D30" s="5">
        <v>920</v>
      </c>
      <c r="E30" s="5">
        <v>1096</v>
      </c>
      <c r="F30" s="5">
        <v>1260</v>
      </c>
      <c r="G30" s="5">
        <v>1551</v>
      </c>
      <c r="H30" s="5">
        <f t="shared" si="0"/>
        <v>920</v>
      </c>
      <c r="I30" s="6" t="str">
        <f t="shared" si="1"/>
        <v>Million Classic (PKR) with Rs.920/-</v>
      </c>
      <c r="J30" s="7">
        <f t="shared" si="2"/>
        <v>0.40683430045132174</v>
      </c>
    </row>
    <row r="31" spans="1:10" x14ac:dyDescent="0.25">
      <c r="A31" s="3" t="s">
        <v>20</v>
      </c>
      <c r="B31" s="3" t="s">
        <v>42</v>
      </c>
      <c r="C31" s="4" t="s">
        <v>17</v>
      </c>
      <c r="D31" s="5">
        <v>1310</v>
      </c>
      <c r="E31" s="5">
        <v>1607</v>
      </c>
      <c r="F31" s="5">
        <v>1971</v>
      </c>
      <c r="G31" s="5">
        <v>2205</v>
      </c>
      <c r="H31" s="5">
        <f t="shared" si="0"/>
        <v>1310</v>
      </c>
      <c r="I31" s="6" t="str">
        <f t="shared" si="1"/>
        <v>Million Classic (PKR) with Rs.1,310/-</v>
      </c>
      <c r="J31" s="7">
        <f t="shared" si="2"/>
        <v>0.40589569160997735</v>
      </c>
    </row>
    <row r="32" spans="1:10" x14ac:dyDescent="0.25">
      <c r="A32" s="3" t="s">
        <v>20</v>
      </c>
      <c r="B32" s="3" t="s">
        <v>43</v>
      </c>
      <c r="C32" s="4" t="s">
        <v>17</v>
      </c>
      <c r="D32" s="5">
        <v>2090</v>
      </c>
      <c r="E32" s="5">
        <v>2478</v>
      </c>
      <c r="F32" s="5">
        <v>3259</v>
      </c>
      <c r="G32" s="5"/>
      <c r="H32" s="5">
        <f t="shared" si="0"/>
        <v>2090</v>
      </c>
      <c r="I32" s="6" t="str">
        <f t="shared" si="1"/>
        <v>Million Classic (PKR) with Rs.2,090/-</v>
      </c>
      <c r="J32" s="7">
        <f t="shared" si="2"/>
        <v>0.35869898741945383</v>
      </c>
    </row>
    <row r="33" spans="1:10" x14ac:dyDescent="0.25">
      <c r="A33" s="3" t="s">
        <v>44</v>
      </c>
      <c r="B33" s="3" t="s">
        <v>45</v>
      </c>
      <c r="C33" s="4" t="s">
        <v>14</v>
      </c>
      <c r="D33" s="5">
        <v>3806</v>
      </c>
      <c r="E33" s="5">
        <v>4890</v>
      </c>
      <c r="F33" s="5"/>
      <c r="G33" s="5"/>
      <c r="H33" s="5">
        <f t="shared" si="0"/>
        <v>3806</v>
      </c>
      <c r="I33" s="6" t="str">
        <f t="shared" si="1"/>
        <v>Million Classic (PKR) with Rs.3,806/-</v>
      </c>
      <c r="J33" s="7">
        <f t="shared" si="2"/>
        <v>0.22167689161554191</v>
      </c>
    </row>
    <row r="34" spans="1:10" x14ac:dyDescent="0.25">
      <c r="A34" s="3" t="s">
        <v>44</v>
      </c>
      <c r="B34" s="3" t="s">
        <v>46</v>
      </c>
      <c r="C34" s="4" t="s">
        <v>14</v>
      </c>
      <c r="D34" s="5">
        <v>6926</v>
      </c>
      <c r="E34" s="5">
        <v>8280</v>
      </c>
      <c r="F34" s="5"/>
      <c r="G34" s="5"/>
      <c r="H34" s="5">
        <f t="shared" si="0"/>
        <v>6926</v>
      </c>
      <c r="I34" s="6" t="str">
        <f t="shared" si="1"/>
        <v>Million Classic (PKR) with Rs.6,926/-</v>
      </c>
      <c r="J34" s="7">
        <f t="shared" si="2"/>
        <v>0.16352657004830917</v>
      </c>
    </row>
    <row r="35" spans="1:10" x14ac:dyDescent="0.25">
      <c r="A35" s="3" t="s">
        <v>44</v>
      </c>
      <c r="B35" s="3" t="s">
        <v>47</v>
      </c>
      <c r="C35" s="4" t="s">
        <v>14</v>
      </c>
      <c r="D35" s="5">
        <v>10787</v>
      </c>
      <c r="E35" s="5">
        <v>12750</v>
      </c>
      <c r="F35" s="5"/>
      <c r="G35" s="5"/>
      <c r="H35" s="5">
        <f t="shared" si="0"/>
        <v>10787</v>
      </c>
      <c r="I35" s="6" t="str">
        <f t="shared" si="1"/>
        <v>Million Classic (PKR) with Rs.10,787/-</v>
      </c>
      <c r="J35" s="7">
        <f t="shared" si="2"/>
        <v>0.15396078431372548</v>
      </c>
    </row>
    <row r="36" spans="1:10" x14ac:dyDescent="0.25">
      <c r="A36" s="3" t="s">
        <v>44</v>
      </c>
      <c r="B36" s="3" t="s">
        <v>48</v>
      </c>
      <c r="C36" s="4" t="s">
        <v>17</v>
      </c>
      <c r="D36" s="5">
        <v>211</v>
      </c>
      <c r="E36" s="5">
        <v>236</v>
      </c>
      <c r="F36" s="5"/>
      <c r="G36" s="5"/>
      <c r="H36" s="5">
        <f t="shared" si="0"/>
        <v>211</v>
      </c>
      <c r="I36" s="6" t="str">
        <f t="shared" si="1"/>
        <v>Million Classic (PKR) with Rs.211/-</v>
      </c>
      <c r="J36" s="7">
        <f t="shared" si="2"/>
        <v>0.1059322033898305</v>
      </c>
    </row>
    <row r="37" spans="1:10" x14ac:dyDescent="0.25">
      <c r="A37" s="3" t="s">
        <v>44</v>
      </c>
      <c r="B37" s="3" t="s">
        <v>49</v>
      </c>
      <c r="C37" s="4" t="s">
        <v>17</v>
      </c>
      <c r="D37" s="5">
        <v>309</v>
      </c>
      <c r="E37" s="5">
        <v>346</v>
      </c>
      <c r="F37" s="5"/>
      <c r="G37" s="5"/>
      <c r="H37" s="5">
        <f t="shared" ref="H37:H68" si="3">IF(COUNT(D37:G37)&gt;0, MIN(D37:G37), "N/A")</f>
        <v>309</v>
      </c>
      <c r="I37" s="6" t="str">
        <f t="shared" ref="I37:I68" si="4">IF(H37="N/A", "N/A", INDEX($D$4:$G$4, MATCH(H37, D37:G37, 0)) &amp; " with Rs." &amp; TEXT(H37, "#,##0") &amp; "/-")</f>
        <v>Million Classic (PKR) with Rs.309/-</v>
      </c>
      <c r="J37" s="7">
        <f t="shared" ref="J37:J57" si="5">IF(COUNT(D37:G37)&gt;1, (MAX(D37:G37)-MIN(D37:G37))/MAX(D37:G37), 0)</f>
        <v>0.1069364161849711</v>
      </c>
    </row>
    <row r="38" spans="1:10" x14ac:dyDescent="0.25">
      <c r="A38" s="3" t="s">
        <v>44</v>
      </c>
      <c r="B38" s="3" t="s">
        <v>50</v>
      </c>
      <c r="C38" s="4" t="s">
        <v>17</v>
      </c>
      <c r="D38" s="5">
        <v>107</v>
      </c>
      <c r="E38" s="5">
        <v>147</v>
      </c>
      <c r="F38" s="5">
        <v>191</v>
      </c>
      <c r="G38" s="5">
        <v>251</v>
      </c>
      <c r="H38" s="5">
        <f t="shared" si="3"/>
        <v>107</v>
      </c>
      <c r="I38" s="6" t="str">
        <f t="shared" si="4"/>
        <v>Million Classic (PKR) with Rs.107/-</v>
      </c>
      <c r="J38" s="7">
        <f t="shared" si="5"/>
        <v>0.57370517928286857</v>
      </c>
    </row>
    <row r="39" spans="1:10" x14ac:dyDescent="0.25">
      <c r="A39" s="3" t="s">
        <v>44</v>
      </c>
      <c r="B39" s="3" t="s">
        <v>51</v>
      </c>
      <c r="C39" s="4" t="s">
        <v>17</v>
      </c>
      <c r="D39" s="5"/>
      <c r="E39" s="5">
        <v>155</v>
      </c>
      <c r="F39" s="5">
        <v>239</v>
      </c>
      <c r="G39" s="5">
        <v>313</v>
      </c>
      <c r="H39" s="5">
        <f t="shared" si="3"/>
        <v>155</v>
      </c>
      <c r="I39" s="6" t="str">
        <f t="shared" si="4"/>
        <v>GM Cables (PKR) with Rs.155/-</v>
      </c>
      <c r="J39" s="7">
        <f t="shared" si="5"/>
        <v>0.50479233226837061</v>
      </c>
    </row>
    <row r="40" spans="1:10" x14ac:dyDescent="0.25">
      <c r="A40" s="3" t="s">
        <v>44</v>
      </c>
      <c r="B40" s="3" t="s">
        <v>52</v>
      </c>
      <c r="C40" s="4" t="s">
        <v>17</v>
      </c>
      <c r="D40" s="5">
        <v>179</v>
      </c>
      <c r="E40" s="5">
        <v>229</v>
      </c>
      <c r="F40" s="5">
        <v>328</v>
      </c>
      <c r="G40" s="5">
        <v>377</v>
      </c>
      <c r="H40" s="5">
        <f t="shared" si="3"/>
        <v>179</v>
      </c>
      <c r="I40" s="6" t="str">
        <f t="shared" si="4"/>
        <v>Million Classic (PKR) with Rs.179/-</v>
      </c>
      <c r="J40" s="7">
        <f t="shared" si="5"/>
        <v>0.5251989389920424</v>
      </c>
    </row>
    <row r="41" spans="1:10" x14ac:dyDescent="0.25">
      <c r="A41" s="3" t="s">
        <v>44</v>
      </c>
      <c r="B41" s="3" t="s">
        <v>53</v>
      </c>
      <c r="C41" s="4" t="s">
        <v>17</v>
      </c>
      <c r="D41" s="5">
        <v>276</v>
      </c>
      <c r="E41" s="5">
        <v>346</v>
      </c>
      <c r="F41" s="5">
        <v>526</v>
      </c>
      <c r="G41" s="5">
        <v>595</v>
      </c>
      <c r="H41" s="5">
        <f t="shared" si="3"/>
        <v>276</v>
      </c>
      <c r="I41" s="6" t="str">
        <f t="shared" si="4"/>
        <v>Million Classic (PKR) with Rs.276/-</v>
      </c>
      <c r="J41" s="7">
        <f t="shared" si="5"/>
        <v>0.53613445378151259</v>
      </c>
    </row>
    <row r="42" spans="1:10" x14ac:dyDescent="0.25">
      <c r="A42" s="3" t="s">
        <v>44</v>
      </c>
      <c r="B42" s="3" t="s">
        <v>54</v>
      </c>
      <c r="C42" s="4" t="s">
        <v>17</v>
      </c>
      <c r="D42" s="5">
        <v>452</v>
      </c>
      <c r="E42" s="5">
        <v>538</v>
      </c>
      <c r="F42" s="5">
        <v>816</v>
      </c>
      <c r="G42" s="5">
        <v>903</v>
      </c>
      <c r="H42" s="5">
        <f t="shared" si="3"/>
        <v>452</v>
      </c>
      <c r="I42" s="6" t="str">
        <f t="shared" si="4"/>
        <v>Million Classic (PKR) with Rs.452/-</v>
      </c>
      <c r="J42" s="7">
        <f t="shared" si="5"/>
        <v>0.49944629014396458</v>
      </c>
    </row>
    <row r="43" spans="1:10" x14ac:dyDescent="0.25">
      <c r="A43" s="3" t="s">
        <v>44</v>
      </c>
      <c r="B43" s="3" t="s">
        <v>55</v>
      </c>
      <c r="C43" s="4" t="s">
        <v>17</v>
      </c>
      <c r="D43" s="5">
        <v>110</v>
      </c>
      <c r="E43" s="5">
        <v>227</v>
      </c>
      <c r="F43" s="5">
        <v>257</v>
      </c>
      <c r="G43" s="5">
        <v>318</v>
      </c>
      <c r="H43" s="5">
        <f t="shared" si="3"/>
        <v>110</v>
      </c>
      <c r="I43" s="6" t="str">
        <f t="shared" si="4"/>
        <v>Million Classic (PKR) with Rs.110/-</v>
      </c>
      <c r="J43" s="7">
        <f t="shared" si="5"/>
        <v>0.65408805031446537</v>
      </c>
    </row>
    <row r="44" spans="1:10" x14ac:dyDescent="0.25">
      <c r="A44" s="3" t="s">
        <v>44</v>
      </c>
      <c r="B44" s="3" t="s">
        <v>56</v>
      </c>
      <c r="C44" s="4" t="s">
        <v>17</v>
      </c>
      <c r="D44" s="5">
        <v>200</v>
      </c>
      <c r="E44" s="5">
        <v>378</v>
      </c>
      <c r="F44" s="5">
        <v>467</v>
      </c>
      <c r="G44" s="5">
        <v>525</v>
      </c>
      <c r="H44" s="5">
        <f t="shared" si="3"/>
        <v>200</v>
      </c>
      <c r="I44" s="6" t="str">
        <f t="shared" si="4"/>
        <v>Million Classic (PKR) with Rs.200/-</v>
      </c>
      <c r="J44" s="7">
        <f t="shared" si="5"/>
        <v>0.61904761904761907</v>
      </c>
    </row>
    <row r="45" spans="1:10" x14ac:dyDescent="0.25">
      <c r="A45" s="3" t="s">
        <v>44</v>
      </c>
      <c r="B45" s="3" t="s">
        <v>57</v>
      </c>
      <c r="C45" s="4" t="s">
        <v>17</v>
      </c>
      <c r="D45" s="5">
        <v>310</v>
      </c>
      <c r="E45" s="5">
        <v>565</v>
      </c>
      <c r="F45" s="5">
        <v>751</v>
      </c>
      <c r="G45" s="5">
        <v>819</v>
      </c>
      <c r="H45" s="5">
        <f t="shared" si="3"/>
        <v>310</v>
      </c>
      <c r="I45" s="6" t="str">
        <f t="shared" si="4"/>
        <v>Million Classic (PKR) with Rs.310/-</v>
      </c>
      <c r="J45" s="7">
        <f t="shared" si="5"/>
        <v>0.6214896214896215</v>
      </c>
    </row>
    <row r="46" spans="1:10" x14ac:dyDescent="0.25">
      <c r="A46" s="3" t="s">
        <v>44</v>
      </c>
      <c r="B46" s="3" t="s">
        <v>58</v>
      </c>
      <c r="C46" s="4" t="s">
        <v>17</v>
      </c>
      <c r="D46" s="5"/>
      <c r="E46" s="5">
        <v>864</v>
      </c>
      <c r="F46" s="5">
        <v>1178</v>
      </c>
      <c r="G46" s="5">
        <v>1223</v>
      </c>
      <c r="H46" s="5">
        <f t="shared" si="3"/>
        <v>864</v>
      </c>
      <c r="I46" s="6" t="str">
        <f t="shared" si="4"/>
        <v>GM Cables (PKR) with Rs.864/-</v>
      </c>
      <c r="J46" s="7">
        <f t="shared" si="5"/>
        <v>0.29354047424366314</v>
      </c>
    </row>
    <row r="47" spans="1:10" x14ac:dyDescent="0.25">
      <c r="A47" s="3" t="s">
        <v>44</v>
      </c>
      <c r="B47" s="3" t="s">
        <v>59</v>
      </c>
      <c r="C47" s="4" t="s">
        <v>17</v>
      </c>
      <c r="D47" s="5"/>
      <c r="E47" s="5">
        <v>290</v>
      </c>
      <c r="F47" s="5">
        <v>333</v>
      </c>
      <c r="G47" s="5">
        <v>392</v>
      </c>
      <c r="H47" s="5">
        <f t="shared" si="3"/>
        <v>290</v>
      </c>
      <c r="I47" s="6" t="str">
        <f t="shared" si="4"/>
        <v>GM Cables (PKR) with Rs.290/-</v>
      </c>
      <c r="J47" s="7">
        <f t="shared" si="5"/>
        <v>0.26020408163265307</v>
      </c>
    </row>
    <row r="48" spans="1:10" x14ac:dyDescent="0.25">
      <c r="A48" s="3" t="s">
        <v>44</v>
      </c>
      <c r="B48" s="3" t="s">
        <v>60</v>
      </c>
      <c r="C48" s="4" t="s">
        <v>17</v>
      </c>
      <c r="D48" s="5">
        <v>273</v>
      </c>
      <c r="E48" s="5">
        <v>497</v>
      </c>
      <c r="F48" s="5">
        <v>611</v>
      </c>
      <c r="G48" s="5">
        <v>710</v>
      </c>
      <c r="H48" s="5">
        <f t="shared" si="3"/>
        <v>273</v>
      </c>
      <c r="I48" s="6" t="str">
        <f t="shared" si="4"/>
        <v>Million Classic (PKR) with Rs.273/-</v>
      </c>
      <c r="J48" s="7">
        <f t="shared" si="5"/>
        <v>0.61549295774647883</v>
      </c>
    </row>
    <row r="49" spans="1:10" x14ac:dyDescent="0.25">
      <c r="A49" s="3" t="s">
        <v>44</v>
      </c>
      <c r="B49" s="3" t="s">
        <v>61</v>
      </c>
      <c r="C49" s="4" t="s">
        <v>17</v>
      </c>
      <c r="D49" s="5">
        <v>441</v>
      </c>
      <c r="E49" s="5">
        <v>751</v>
      </c>
      <c r="F49" s="5">
        <v>986</v>
      </c>
      <c r="G49" s="5">
        <v>1051</v>
      </c>
      <c r="H49" s="5">
        <f t="shared" si="3"/>
        <v>441</v>
      </c>
      <c r="I49" s="6" t="str">
        <f t="shared" si="4"/>
        <v>Million Classic (PKR) with Rs.441/-</v>
      </c>
      <c r="J49" s="7">
        <f t="shared" si="5"/>
        <v>0.58039961941008567</v>
      </c>
    </row>
    <row r="50" spans="1:10" x14ac:dyDescent="0.25">
      <c r="A50" s="3" t="s">
        <v>44</v>
      </c>
      <c r="B50" s="3" t="s">
        <v>62</v>
      </c>
      <c r="C50" s="4" t="s">
        <v>17</v>
      </c>
      <c r="D50" s="5">
        <v>1037</v>
      </c>
      <c r="E50" s="5">
        <v>1152</v>
      </c>
      <c r="F50" s="5">
        <v>1540</v>
      </c>
      <c r="G50" s="5">
        <v>1675</v>
      </c>
      <c r="H50" s="5">
        <f t="shared" si="3"/>
        <v>1037</v>
      </c>
      <c r="I50" s="6" t="str">
        <f t="shared" si="4"/>
        <v>Million Classic (PKR) with Rs.1,037/-</v>
      </c>
      <c r="J50" s="7">
        <f t="shared" si="5"/>
        <v>0.38089552238805968</v>
      </c>
    </row>
    <row r="51" spans="1:10" x14ac:dyDescent="0.25">
      <c r="A51" s="3" t="s">
        <v>63</v>
      </c>
      <c r="B51" s="3" t="s">
        <v>64</v>
      </c>
      <c r="C51" s="4" t="s">
        <v>17</v>
      </c>
      <c r="D51" s="5">
        <v>224</v>
      </c>
      <c r="E51" s="5">
        <v>183</v>
      </c>
      <c r="F51" s="5">
        <v>380</v>
      </c>
      <c r="G51" s="5">
        <v>497</v>
      </c>
      <c r="H51" s="5">
        <f t="shared" si="3"/>
        <v>183</v>
      </c>
      <c r="I51" s="6" t="str">
        <f t="shared" si="4"/>
        <v>GM Cables (PKR) with Rs.183/-</v>
      </c>
      <c r="J51" s="7">
        <f t="shared" si="5"/>
        <v>0.63179074446680084</v>
      </c>
    </row>
    <row r="52" spans="1:10" x14ac:dyDescent="0.25">
      <c r="A52" s="3" t="s">
        <v>63</v>
      </c>
      <c r="B52" s="3" t="s">
        <v>65</v>
      </c>
      <c r="C52" s="4" t="s">
        <v>17</v>
      </c>
      <c r="D52" s="5">
        <v>335</v>
      </c>
      <c r="E52" s="5">
        <v>415</v>
      </c>
      <c r="F52" s="5">
        <v>575</v>
      </c>
      <c r="G52" s="5">
        <v>713</v>
      </c>
      <c r="H52" s="5">
        <f t="shared" si="3"/>
        <v>335</v>
      </c>
      <c r="I52" s="6" t="str">
        <f t="shared" si="4"/>
        <v>Million Classic (PKR) with Rs.335/-</v>
      </c>
      <c r="J52" s="7">
        <f t="shared" si="5"/>
        <v>0.53015427769985979</v>
      </c>
    </row>
    <row r="53" spans="1:10" x14ac:dyDescent="0.25">
      <c r="A53" s="3" t="s">
        <v>66</v>
      </c>
      <c r="B53" s="3" t="s">
        <v>67</v>
      </c>
      <c r="C53" s="4" t="s">
        <v>68</v>
      </c>
      <c r="D53" s="5">
        <v>40000</v>
      </c>
      <c r="E53" s="5">
        <v>58550</v>
      </c>
      <c r="F53" s="5">
        <v>33855</v>
      </c>
      <c r="G53" s="5"/>
      <c r="H53" s="5">
        <f t="shared" si="3"/>
        <v>33855</v>
      </c>
      <c r="I53" s="6" t="str">
        <f t="shared" si="4"/>
        <v>Fast Cables (PKR) with Rs.33,855/-</v>
      </c>
      <c r="J53" s="7">
        <f t="shared" si="5"/>
        <v>0.42177625960717335</v>
      </c>
    </row>
    <row r="54" spans="1:10" x14ac:dyDescent="0.25">
      <c r="A54" s="3" t="s">
        <v>69</v>
      </c>
      <c r="B54" s="3" t="s">
        <v>70</v>
      </c>
      <c r="C54" s="4" t="s">
        <v>14</v>
      </c>
      <c r="D54" s="5">
        <v>10000</v>
      </c>
      <c r="E54" s="5">
        <v>11500</v>
      </c>
      <c r="F54" s="5">
        <v>28899</v>
      </c>
      <c r="G54" s="5">
        <v>32393</v>
      </c>
      <c r="H54" s="5">
        <f t="shared" si="3"/>
        <v>10000</v>
      </c>
      <c r="I54" s="6" t="str">
        <f t="shared" si="4"/>
        <v>Million Classic (PKR) with Rs.10,000/-</v>
      </c>
      <c r="J54" s="7">
        <f t="shared" si="5"/>
        <v>0.691291328373414</v>
      </c>
    </row>
    <row r="55" spans="1:10" x14ac:dyDescent="0.25">
      <c r="A55" s="3" t="s">
        <v>71</v>
      </c>
      <c r="B55" s="3" t="s">
        <v>72</v>
      </c>
      <c r="C55" s="4" t="s">
        <v>14</v>
      </c>
      <c r="D55" s="5"/>
      <c r="E55" s="5">
        <v>3455</v>
      </c>
      <c r="F55" s="5">
        <v>8299</v>
      </c>
      <c r="G55" s="5">
        <v>10155</v>
      </c>
      <c r="H55" s="5">
        <f t="shared" si="3"/>
        <v>3455</v>
      </c>
      <c r="I55" s="6" t="str">
        <f t="shared" si="4"/>
        <v>GM Cables (PKR) with Rs.3,455/-</v>
      </c>
      <c r="J55" s="7">
        <f t="shared" si="5"/>
        <v>0.65977351058591827</v>
      </c>
    </row>
    <row r="56" spans="1:10" x14ac:dyDescent="0.25">
      <c r="A56" s="3" t="s">
        <v>71</v>
      </c>
      <c r="B56" s="3" t="s">
        <v>73</v>
      </c>
      <c r="C56" s="4" t="s">
        <v>14</v>
      </c>
      <c r="D56" s="5"/>
      <c r="E56" s="5">
        <v>6910</v>
      </c>
      <c r="F56" s="5">
        <v>12499</v>
      </c>
      <c r="G56" s="5">
        <v>14803</v>
      </c>
      <c r="H56" s="5">
        <f t="shared" si="3"/>
        <v>6910</v>
      </c>
      <c r="I56" s="6" t="str">
        <f t="shared" si="4"/>
        <v>GM Cables (PKR) with Rs.6,910/-</v>
      </c>
      <c r="J56" s="7">
        <f t="shared" si="5"/>
        <v>0.53320272917651823</v>
      </c>
    </row>
    <row r="57" spans="1:10" x14ac:dyDescent="0.25">
      <c r="A57" s="3" t="s">
        <v>71</v>
      </c>
      <c r="B57" s="3" t="s">
        <v>74</v>
      </c>
      <c r="C57" s="4" t="s">
        <v>14</v>
      </c>
      <c r="D57" s="5"/>
      <c r="E57" s="5">
        <v>13820</v>
      </c>
      <c r="F57" s="5">
        <v>24899</v>
      </c>
      <c r="G57" s="5">
        <v>30094</v>
      </c>
      <c r="H57" s="5">
        <f t="shared" si="3"/>
        <v>13820</v>
      </c>
      <c r="I57" s="6" t="str">
        <f t="shared" si="4"/>
        <v>GM Cables (PKR) with Rs.13,820/-</v>
      </c>
      <c r="J57" s="7">
        <f t="shared" si="5"/>
        <v>0.54077224695952686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 Price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Administration</cp:lastModifiedBy>
  <dcterms:created xsi:type="dcterms:W3CDTF">2026-07-25T11:31:29Z</dcterms:created>
  <dcterms:modified xsi:type="dcterms:W3CDTF">2026-07-25T11:33:59Z</dcterms:modified>
</cp:coreProperties>
</file>